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Embedded Course Design\outputs\procurement\"/>
    </mc:Choice>
  </mc:AlternateContent>
  <xr:revisionPtr revIDLastSave="0" documentId="13_ncr:1_{1DCC5938-0751-4995-894D-1EB1167B0C2C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采购清单" sheetId="1" r:id="rId1"/>
    <sheet name="预算汇总" sheetId="2" r:id="rId2"/>
    <sheet name="来源与判断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2" l="1"/>
  <c r="B5" i="2"/>
  <c r="B4" i="2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B8" i="2" l="1"/>
  <c r="B6" i="2"/>
</calcChain>
</file>

<file path=xl/sharedStrings.xml><?xml version="1.0" encoding="utf-8"?>
<sst xmlns="http://schemas.openxmlformats.org/spreadsheetml/2006/main" count="224" uniqueCount="156">
  <si>
    <t>STM32 智能手表课设采购清单</t>
  </si>
  <si>
    <t>类别</t>
  </si>
  <si>
    <t>物料名称</t>
  </si>
  <si>
    <t>规格/型号建议</t>
  </si>
  <si>
    <t>数量</t>
  </si>
  <si>
    <t>估算单价</t>
  </si>
  <si>
    <t>估算小计</t>
  </si>
  <si>
    <t>是否已有</t>
  </si>
  <si>
    <t>采购优先级</t>
  </si>
  <si>
    <t>购买建议</t>
  </si>
  <si>
    <t>用途/判断</t>
  </si>
  <si>
    <t>已拥有</t>
  </si>
  <si>
    <t>STM32F103C8T6 开发板</t>
  </si>
  <si>
    <t>最小系统板/开发板均可</t>
  </si>
  <si>
    <t>是</t>
  </si>
  <si>
    <t>无需购买</t>
  </si>
  <si>
    <t>保留</t>
  </si>
  <si>
    <t>主控平台，当前工程已经按 STM32F103C8T6 + HAL + FreeRTOS 配置</t>
  </si>
  <si>
    <t>面包板</t>
  </si>
  <si>
    <t>常规实验面包板</t>
  </si>
  <si>
    <t>前期插线调试使用</t>
  </si>
  <si>
    <t>杜邦线</t>
  </si>
  <si>
    <t>公对公、公对母、母对母按实际余量补</t>
  </si>
  <si>
    <t>检查余量</t>
  </si>
  <si>
    <t>OLED、蓝牙、编码器和传感器连接</t>
  </si>
  <si>
    <t>OLED 屏</t>
  </si>
  <si>
    <t>SSD1306，I2C 接口，0.96/1.3 寸均可</t>
  </si>
  <si>
    <t>当前代码已经写入 OLED 显示任务</t>
  </si>
  <si>
    <t>第一优先</t>
  </si>
  <si>
    <t>EC11 旋转编码器</t>
  </si>
  <si>
    <t>立插，20mm 梅花柄，20 定位，20 反脉冲，带按压开关</t>
  </si>
  <si>
    <t>否</t>
  </si>
  <si>
    <t>必买</t>
  </si>
  <si>
    <t>买</t>
  </si>
  <si>
    <t>菜单选择和按下确认；买 2 只，一只使用一只备用</t>
  </si>
  <si>
    <t>HC-05 蓝牙模块</t>
  </si>
  <si>
    <t>带底板焊排针，兼容版即可，1 个</t>
  </si>
  <si>
    <t>串口蓝牙通信展示；比 HC-06 更适合答辩说明</t>
  </si>
  <si>
    <t>电阻包</t>
  </si>
  <si>
    <t>1/4W 金属膜，1%，常用阻值；重点含 220Ω、330Ω、1kΩ、4.7kΩ、10kΩ、100kΩ</t>
  </si>
  <si>
    <t>限流、上拉/下拉、临时保护和调试备用</t>
  </si>
  <si>
    <t>电容包</t>
  </si>
  <si>
    <t>瓷片/独石 + 电解常用包；重点含 100nF、1uF、10uF、47uF、100uF</t>
  </si>
  <si>
    <t>电源滤波、模块旁路和供电缓冲</t>
  </si>
  <si>
    <t>轻触按键/按键模块</t>
  </si>
  <si>
    <t>独立按键或小模块，至少 3 个，建议 5 个</t>
  </si>
  <si>
    <t>返回、确认、复位、备用输入；即使 EC11 带按压也建议留备用</t>
  </si>
  <si>
    <t>第二优先</t>
  </si>
  <si>
    <t>MPU6050 模块</t>
  </si>
  <si>
    <t>GY-521/MPU6050，I2C 接口，带排针更省事</t>
  </si>
  <si>
    <t>建议买</t>
  </si>
  <si>
    <t>加速度/姿态/计步展示，作为智能手表传感器卖点</t>
  </si>
  <si>
    <t>有源蜂鸣器</t>
  </si>
  <si>
    <t>3.3V/5V 小型有源蜂鸣器模块优先</t>
  </si>
  <si>
    <t>闹钟、提醒、按键反馈，代码复杂度低</t>
  </si>
  <si>
    <t>USB-TTL 模块</t>
  </si>
  <si>
    <t>CH340/CP2102，支持 3.3V TTL</t>
  </si>
  <si>
    <t>按需购买</t>
  </si>
  <si>
    <t>看情况</t>
  </si>
  <si>
    <t>调试 HC-05 AT 指令和串口输出；若开发板已有稳定串口工具可暂缓</t>
  </si>
  <si>
    <t>洞洞板/万能板</t>
  </si>
  <si>
    <t>小尺寸即可，配合排针使用</t>
  </si>
  <si>
    <t>最终展示比面包板更稳，适合把模块固定起来</t>
  </si>
  <si>
    <t>热缩管/绝缘胶带</t>
  </si>
  <si>
    <t>小卷即可</t>
  </si>
  <si>
    <t>防短路、固定线束、提升展示可靠性</t>
  </si>
  <si>
    <t>备用</t>
  </si>
  <si>
    <t>备用 OLED 屏</t>
  </si>
  <si>
    <t>I2C 接口，和现有屏兼容</t>
  </si>
  <si>
    <t>可选</t>
  </si>
  <si>
    <t>预算足再买</t>
  </si>
  <si>
    <t>OLED 接错线较容易损坏；预算紧张可不买</t>
  </si>
  <si>
    <t>备用杜邦线</t>
  </si>
  <si>
    <t>10cm/20cm 混合买</t>
  </si>
  <si>
    <t>看余量</t>
  </si>
  <si>
    <t>若现有线不够或接触不良，再补</t>
  </si>
  <si>
    <t>暂缓</t>
  </si>
  <si>
    <t>TP4056 Type-C 充电保护模块</t>
  </si>
  <si>
    <t>带保护板版本</t>
  </si>
  <si>
    <t>先不买</t>
  </si>
  <si>
    <t>只有做锂电池供电时才需要；当前主线是桌面演示</t>
  </si>
  <si>
    <t>3.7V 锂电池</t>
  </si>
  <si>
    <t>302530/402030 等小容量电池</t>
  </si>
  <si>
    <t>电池供电会引入充电、安全和稳压问题，暂不抢主线</t>
  </si>
  <si>
    <t>3.3V 稳压模块</t>
  </si>
  <si>
    <t>ME6211/HT7333/MCP1700 等低压差稳压</t>
  </si>
  <si>
    <t>只有脱离开发板和 USB 供电时才需要</t>
  </si>
  <si>
    <t>1N4148 开关二极管</t>
  </si>
  <si>
    <t>小信号高速二极管，常用包可含</t>
  </si>
  <si>
    <t>不单买</t>
  </si>
  <si>
    <t>不买</t>
  </si>
  <si>
    <t>当前不是自制电源板或保护电路，单独购买意义不大</t>
  </si>
  <si>
    <t>手表表带/外壳材料</t>
  </si>
  <si>
    <t>亚克力、3D 打印或表带材料</t>
  </si>
  <si>
    <t>开发板尺寸不像手表，答辩重点先放在功能完整性</t>
  </si>
  <si>
    <t>预算汇总</t>
  </si>
  <si>
    <t>采购口径</t>
  </si>
  <si>
    <t>估算金额</t>
  </si>
  <si>
    <t>包含类别</t>
  </si>
  <si>
    <t>结论</t>
  </si>
  <si>
    <t>说明</t>
  </si>
  <si>
    <t>下一步动作</t>
  </si>
  <si>
    <t>第一优先必买</t>
  </si>
  <si>
    <t>今天可以下单</t>
  </si>
  <si>
    <t>EC11、HC-05、阻容包、按键是当前最能降低调试风险的物料</t>
  </si>
  <si>
    <t>先买</t>
  </si>
  <si>
    <t>第一 + 第二优先建议买</t>
  </si>
  <si>
    <t>第一优先 + 第二优先</t>
  </si>
  <si>
    <t>更适合冲优秀</t>
  </si>
  <si>
    <t>加入 MPU6050、蜂鸣器、洞洞板后，展示内容更完整</t>
  </si>
  <si>
    <t>含备用</t>
  </si>
  <si>
    <t>第一优先 + 第二优先 + 备用</t>
  </si>
  <si>
    <t>预算充足再加</t>
  </si>
  <si>
    <t>备用 OLED 和线材用于降低损坏或接触不良风险</t>
  </si>
  <si>
    <t>按预算决定</t>
  </si>
  <si>
    <t>暂缓部分</t>
  </si>
  <si>
    <t>当前不买</t>
  </si>
  <si>
    <t>电池、电源保护、外壳属于后期包装，不宜过早占用精力</t>
  </si>
  <si>
    <t>推荐实际下单</t>
  </si>
  <si>
    <t>第一优先 + 第二优先中建议买项</t>
  </si>
  <si>
    <t>主线方案</t>
  </si>
  <si>
    <t>控制成本，同时保留答辩展示点</t>
  </si>
  <si>
    <t>按清单筛选“买”</t>
  </si>
  <si>
    <t>来源与判断</t>
  </si>
  <si>
    <t>项目</t>
  </si>
  <si>
    <t>来源/依据</t>
  </si>
  <si>
    <t>链接或说明</t>
  </si>
  <si>
    <t>采用方式</t>
  </si>
  <si>
    <t>用户商品截图 + 京东价格/型号页</t>
  </si>
  <si>
    <t>https://www.jd.com/jiage/140652e5bd854338fc6d6.html</t>
  </si>
  <si>
    <t>选带底板焊排针版本，按截图 ¥34.3 记入</t>
  </si>
  <si>
    <t>用户前序确认 + 京东/Soundwell 型号页</t>
  </si>
  <si>
    <t>https://www.soundwell-cn.com/EC11sujiaozhouxilie/434.html</t>
  </si>
  <si>
    <t>选立插 20mm 梅花柄、20 定位、20 反脉冲、带按压开关，买 2 只</t>
  </si>
  <si>
    <t>MPU6050/GY-521</t>
  </si>
  <si>
    <t>常见模块规格页</t>
  </si>
  <si>
    <t>https://www.amazon.com/HiLetgo-MPU-6050-Accelerometer-Gyroscope-Converter/dp/B078SS8NQV</t>
  </si>
  <si>
    <t>作为传感器扩展展示，放第二优先</t>
  </si>
  <si>
    <t>HC-05 接线与电气注意</t>
  </si>
  <si>
    <t>HC-05 模块说明页</t>
  </si>
  <si>
    <t>https://www.sdmodel.com.tw/content.php?cn=item&amp;start=0&amp;tid=477</t>
  </si>
  <si>
    <t>提醒使用带底板版本，注意 VCC/GND/TXD/RXD</t>
  </si>
  <si>
    <t>1N4148</t>
  </si>
  <si>
    <t>当前项目边界判断</t>
  </si>
  <si>
    <t>不做自制电源保护板，暂不单买</t>
  </si>
  <si>
    <t>从主采购清单中降为暂缓</t>
  </si>
  <si>
    <t>电阻电容包</t>
  </si>
  <si>
    <t>当前电路调试需要</t>
  </si>
  <si>
    <t>重点阻值：220Ω、330Ω、1kΩ、4.7kΩ、10kΩ、100kΩ；重点电容：100nF、1uF、10uF、47uF、100uF</t>
  </si>
  <si>
    <t>用于上拉、限流、滤波和临时修补</t>
  </si>
  <si>
    <t>课程要求</t>
  </si>
  <si>
    <t>本地 README 与当前工程状态</t>
  </si>
  <si>
    <t>E:/Embedded Course Design/README.md；SmartWatch_HAL_RTOS 已能编译</t>
  </si>
  <si>
    <t>清单围绕能展示、能答辩收敛</t>
  </si>
  <si>
    <r>
      <rPr>
        <sz val="11"/>
        <color rgb="FF1F2937"/>
        <rFont val="微软雅黑"/>
        <family val="2"/>
        <charset val="134"/>
      </rPr>
      <t>路线：</t>
    </r>
    <r>
      <rPr>
        <sz val="11"/>
        <color rgb="FF1F2937"/>
        <rFont val="Arial"/>
        <family val="2"/>
      </rPr>
      <t xml:space="preserve">STM32F103C8T6 + OLED + FreeRTOS + </t>
    </r>
    <r>
      <rPr>
        <sz val="11"/>
        <color rgb="FF1F2937"/>
        <rFont val="微软雅黑"/>
        <family val="2"/>
        <charset val="134"/>
      </rPr>
      <t>菜单输入</t>
    </r>
    <r>
      <rPr>
        <sz val="11"/>
        <color rgb="FF1F2937"/>
        <rFont val="Arial"/>
        <family val="2"/>
      </rPr>
      <t xml:space="preserve"> + </t>
    </r>
    <r>
      <rPr>
        <sz val="11"/>
        <color rgb="FF1F2937"/>
        <rFont val="微软雅黑"/>
        <family val="2"/>
        <charset val="134"/>
      </rPr>
      <t>蓝牙</t>
    </r>
    <r>
      <rPr>
        <sz val="11"/>
        <color rgb="FF1F2937"/>
        <rFont val="Arial"/>
        <family val="2"/>
      </rPr>
      <t>/</t>
    </r>
    <r>
      <rPr>
        <sz val="11"/>
        <color rgb="FF1F2937"/>
        <rFont val="微软雅黑"/>
        <family val="2"/>
        <charset val="134"/>
      </rPr>
      <t>传感器展示。</t>
    </r>
    <phoneticPr fontId="6" type="noConversion"/>
  </si>
  <si>
    <t>是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</si>
</sst>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1">
    <font>
      <sz val="11"/>
      <name val="Carlito"/>
    </font>
    <font>
      <b/>
      <sz val="15"/>
      <color rgb="FFFFFFFF"/>
      <name val="Carlito"/>
    </font>
    <font>
      <sz val="11"/>
      <color rgb="FF1F2937"/>
      <name val="Carlito"/>
    </font>
    <font>
      <b/>
      <sz val="11"/>
      <color rgb="FFFFFFFF"/>
      <name val="Carlito"/>
    </font>
    <font>
      <b/>
      <sz val="11"/>
      <name val="Carlito"/>
    </font>
    <font>
      <sz val="11"/>
      <name val="Carlito"/>
    </font>
    <font>
      <sz val="9"/>
      <name val="宋体"/>
      <family val="3"/>
      <charset val="134"/>
    </font>
    <font>
      <sz val="11"/>
      <color rgb="FF1F2937"/>
      <name val="微软雅黑"/>
      <family val="2"/>
      <charset val="134"/>
    </font>
    <font>
      <sz val="11"/>
      <color rgb="FF1F2937"/>
      <name val="Arial"/>
      <family val="2"/>
    </font>
    <font>
      <sz val="11"/>
      <color rgb="FF1F2937"/>
      <name val="Carlito"/>
      <family val="2"/>
      <charset val="134"/>
    </font>
    <font>
      <sz val="11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AF2F8"/>
      </patternFill>
    </fill>
    <fill>
      <patternFill patternType="solid">
        <fgColor rgb="FF5B9BD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2">
    <xf numFmtId="0" fontId="0" fillId="0" borderId="0"/>
    <xf numFmtId="0" fontId="5" fillId="0" borderId="0"/>
  </cellStyleXfs>
  <cellXfs count="12">
    <xf numFmtId="0" fontId="0" fillId="0" borderId="0" xfId="0"/>
    <xf numFmtId="0" fontId="1" fillId="2" borderId="0" xfId="1" applyFont="1" applyFill="1" applyAlignment="1">
      <alignment horizontal="center" vertical="center"/>
    </xf>
    <xf numFmtId="0" fontId="3" fillId="4" borderId="0" xfId="1" applyFont="1" applyFill="1" applyAlignment="1">
      <alignment horizontal="center"/>
    </xf>
    <xf numFmtId="0" fontId="0" fillId="0" borderId="1" xfId="1" applyFont="1" applyBorder="1" applyAlignment="1">
      <alignment vertical="center" wrapText="1"/>
    </xf>
    <xf numFmtId="176" fontId="0" fillId="0" borderId="1" xfId="1" applyNumberFormat="1" applyFont="1" applyBorder="1" applyAlignment="1">
      <alignment horizontal="right" vertical="center" wrapText="1"/>
    </xf>
    <xf numFmtId="0" fontId="4" fillId="6" borderId="1" xfId="1" applyFont="1" applyFill="1" applyBorder="1" applyAlignment="1">
      <alignment vertical="center" wrapText="1"/>
    </xf>
    <xf numFmtId="176" fontId="4" fillId="6" borderId="1" xfId="1" applyNumberFormat="1" applyFont="1" applyFill="1" applyBorder="1" applyAlignment="1">
      <alignment horizontal="right" vertical="center" wrapText="1"/>
    </xf>
    <xf numFmtId="0" fontId="1" fillId="2" borderId="0" xfId="1" applyFont="1" applyFill="1" applyAlignment="1">
      <alignment horizontal="center" vertical="center"/>
    </xf>
    <xf numFmtId="0" fontId="2" fillId="3" borderId="0" xfId="1" applyFont="1" applyFill="1" applyAlignment="1">
      <alignment vertical="center" wrapText="1"/>
    </xf>
    <xf numFmtId="0" fontId="4" fillId="5" borderId="0" xfId="1" applyFont="1" applyFill="1" applyAlignment="1">
      <alignment wrapText="1"/>
    </xf>
    <xf numFmtId="0" fontId="9" fillId="3" borderId="0" xfId="1" applyFont="1" applyFill="1" applyAlignment="1">
      <alignment vertical="center" wrapText="1"/>
    </xf>
    <xf numFmtId="0" fontId="10" fillId="0" borderId="1" xfId="1" applyFont="1" applyBorder="1" applyAlignment="1">
      <alignment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curementTable" displayName="ProcurementTable" ref="A4:J25">
  <autoFilter ref="A4:J25" xr:uid="{00000000-0009-0000-0100-000001000000}"/>
  <tableColumns count="10">
    <tableColumn id="1" xr3:uid="{00000000-0010-0000-0000-000001000000}" name="类别"/>
    <tableColumn id="2" xr3:uid="{00000000-0010-0000-0000-000002000000}" name="物料名称"/>
    <tableColumn id="3" xr3:uid="{00000000-0010-0000-0000-000003000000}" name="规格/型号建议"/>
    <tableColumn id="4" xr3:uid="{00000000-0010-0000-0000-000004000000}" name="数量"/>
    <tableColumn id="5" xr3:uid="{00000000-0010-0000-0000-000005000000}" name="估算单价"/>
    <tableColumn id="6" xr3:uid="{00000000-0010-0000-0000-000006000000}" name="估算小计"/>
    <tableColumn id="7" xr3:uid="{00000000-0010-0000-0000-000007000000}" name="是否已有"/>
    <tableColumn id="8" xr3:uid="{00000000-0010-0000-0000-000008000000}" name="采购优先级"/>
    <tableColumn id="9" xr3:uid="{00000000-0010-0000-0000-000009000000}" name="购买建议"/>
    <tableColumn id="10" xr3:uid="{00000000-0010-0000-0000-00000A000000}" name="用途/判断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udgetSummaryTable" displayName="BudgetSummaryTable" ref="A3:F8">
  <tableColumns count="6">
    <tableColumn id="1" xr3:uid="{00000000-0010-0000-0100-000001000000}" name="采购口径"/>
    <tableColumn id="2" xr3:uid="{00000000-0010-0000-0100-000002000000}" name="估算金额"/>
    <tableColumn id="3" xr3:uid="{00000000-0010-0000-0100-000003000000}" name="包含类别"/>
    <tableColumn id="4" xr3:uid="{00000000-0010-0000-0100-000004000000}" name="结论"/>
    <tableColumn id="5" xr3:uid="{00000000-0010-0000-0100-000005000000}" name="说明"/>
    <tableColumn id="6" xr3:uid="{00000000-0010-0000-0100-000006000000}" name="下一步动作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ourcesTable" displayName="SourcesTable" ref="A3:D10">
  <tableColumns count="4">
    <tableColumn id="1" xr3:uid="{00000000-0010-0000-0200-000001000000}" name="项目"/>
    <tableColumn id="2" xr3:uid="{00000000-0010-0000-0200-000002000000}" name="来源/依据"/>
    <tableColumn id="3" xr3:uid="{00000000-0010-0000-0200-000003000000}" name="链接或说明"/>
    <tableColumn id="4" xr3:uid="{00000000-0010-0000-0200-000004000000}" name="采用方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showGridLines="0" tabSelected="1" workbookViewId="0">
      <selection activeCell="D9" sqref="D9"/>
    </sheetView>
  </sheetViews>
  <sheetFormatPr defaultRowHeight="14"/>
  <cols>
    <col min="1" max="1" width="12" customWidth="1"/>
    <col min="2" max="2" width="20" customWidth="1"/>
    <col min="3" max="3" width="42" customWidth="1"/>
    <col min="4" max="6" width="11" customWidth="1"/>
    <col min="7" max="9" width="13" customWidth="1"/>
    <col min="10" max="10" width="46" customWidth="1"/>
  </cols>
  <sheetData>
    <row r="1" spans="1:10" ht="30" customHeight="1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0" ht="30" customHeight="1">
      <c r="A2" s="10" t="s">
        <v>154</v>
      </c>
      <c r="B2" s="8"/>
      <c r="C2" s="8"/>
      <c r="D2" s="8"/>
      <c r="E2" s="8"/>
      <c r="F2" s="8"/>
      <c r="G2" s="8"/>
      <c r="H2" s="8"/>
      <c r="I2" s="8"/>
      <c r="J2" s="8"/>
    </row>
    <row r="4" spans="1:10" ht="15" customHeight="1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</row>
    <row r="5" spans="1:10" ht="26.4" customHeight="1">
      <c r="A5" s="3" t="s">
        <v>11</v>
      </c>
      <c r="B5" s="3" t="s">
        <v>12</v>
      </c>
      <c r="C5" s="3" t="s">
        <v>13</v>
      </c>
      <c r="D5" s="4">
        <v>1</v>
      </c>
      <c r="E5" s="4">
        <v>0</v>
      </c>
      <c r="F5" s="4">
        <f t="shared" ref="F5:F25" si="0">D5*E5</f>
        <v>0</v>
      </c>
      <c r="G5" s="3" t="s">
        <v>14</v>
      </c>
      <c r="H5" s="3" t="s">
        <v>15</v>
      </c>
      <c r="I5" s="3" t="s">
        <v>16</v>
      </c>
      <c r="J5" s="3" t="s">
        <v>17</v>
      </c>
    </row>
    <row r="6" spans="1:10" ht="15" customHeight="1">
      <c r="A6" s="3" t="s">
        <v>11</v>
      </c>
      <c r="B6" s="3" t="s">
        <v>18</v>
      </c>
      <c r="C6" s="3" t="s">
        <v>19</v>
      </c>
      <c r="D6" s="4">
        <v>1</v>
      </c>
      <c r="E6" s="4">
        <v>0</v>
      </c>
      <c r="F6" s="4">
        <f t="shared" si="0"/>
        <v>0</v>
      </c>
      <c r="G6" s="3" t="s">
        <v>14</v>
      </c>
      <c r="H6" s="3" t="s">
        <v>15</v>
      </c>
      <c r="I6" s="3" t="s">
        <v>16</v>
      </c>
      <c r="J6" s="3" t="s">
        <v>20</v>
      </c>
    </row>
    <row r="7" spans="1:10" ht="15" customHeight="1">
      <c r="A7" s="3" t="s">
        <v>11</v>
      </c>
      <c r="B7" s="3" t="s">
        <v>21</v>
      </c>
      <c r="C7" s="3" t="s">
        <v>22</v>
      </c>
      <c r="D7" s="4">
        <v>1</v>
      </c>
      <c r="E7" s="4">
        <v>0</v>
      </c>
      <c r="F7" s="4">
        <f t="shared" si="0"/>
        <v>0</v>
      </c>
      <c r="G7" s="3" t="s">
        <v>14</v>
      </c>
      <c r="H7" s="3" t="s">
        <v>23</v>
      </c>
      <c r="I7" s="3" t="s">
        <v>16</v>
      </c>
      <c r="J7" s="3" t="s">
        <v>24</v>
      </c>
    </row>
    <row r="8" spans="1:10" ht="15" customHeight="1">
      <c r="A8" s="3" t="s">
        <v>11</v>
      </c>
      <c r="B8" s="3" t="s">
        <v>25</v>
      </c>
      <c r="C8" s="3" t="s">
        <v>26</v>
      </c>
      <c r="D8" s="4">
        <v>1</v>
      </c>
      <c r="E8" s="4">
        <v>0</v>
      </c>
      <c r="F8" s="4">
        <f t="shared" si="0"/>
        <v>0</v>
      </c>
      <c r="G8" s="3" t="s">
        <v>14</v>
      </c>
      <c r="H8" s="3" t="s">
        <v>15</v>
      </c>
      <c r="I8" s="3" t="s">
        <v>16</v>
      </c>
      <c r="J8" s="3" t="s">
        <v>27</v>
      </c>
    </row>
    <row r="9" spans="1:10" ht="26.4" customHeight="1">
      <c r="A9" s="3" t="s">
        <v>28</v>
      </c>
      <c r="B9" s="3" t="s">
        <v>29</v>
      </c>
      <c r="C9" s="3" t="s">
        <v>30</v>
      </c>
      <c r="D9" s="4">
        <v>2</v>
      </c>
      <c r="E9" s="4">
        <v>3</v>
      </c>
      <c r="F9" s="4">
        <f t="shared" si="0"/>
        <v>6</v>
      </c>
      <c r="G9" s="3" t="s">
        <v>31</v>
      </c>
      <c r="H9" s="3" t="s">
        <v>32</v>
      </c>
      <c r="I9" s="3" t="s">
        <v>33</v>
      </c>
      <c r="J9" s="3" t="s">
        <v>34</v>
      </c>
    </row>
    <row r="10" spans="1:10" ht="15" customHeight="1">
      <c r="A10" s="3" t="s">
        <v>28</v>
      </c>
      <c r="B10" s="3" t="s">
        <v>35</v>
      </c>
      <c r="C10" s="3" t="s">
        <v>36</v>
      </c>
      <c r="D10" s="4">
        <v>1</v>
      </c>
      <c r="E10" s="4">
        <v>34.299999999999997</v>
      </c>
      <c r="F10" s="4">
        <f t="shared" si="0"/>
        <v>34.299999999999997</v>
      </c>
      <c r="G10" s="3" t="s">
        <v>31</v>
      </c>
      <c r="H10" s="3" t="s">
        <v>32</v>
      </c>
      <c r="I10" s="3" t="s">
        <v>33</v>
      </c>
      <c r="J10" s="3" t="s">
        <v>37</v>
      </c>
    </row>
    <row r="11" spans="1:10" ht="26.4" customHeight="1">
      <c r="A11" s="3" t="s">
        <v>28</v>
      </c>
      <c r="B11" s="3" t="s">
        <v>38</v>
      </c>
      <c r="C11" s="3" t="s">
        <v>39</v>
      </c>
      <c r="D11" s="4">
        <v>1</v>
      </c>
      <c r="E11" s="4">
        <v>10</v>
      </c>
      <c r="F11" s="4">
        <f t="shared" si="0"/>
        <v>10</v>
      </c>
      <c r="G11" s="3" t="s">
        <v>31</v>
      </c>
      <c r="H11" s="3" t="s">
        <v>32</v>
      </c>
      <c r="I11" s="3" t="s">
        <v>33</v>
      </c>
      <c r="J11" s="3" t="s">
        <v>40</v>
      </c>
    </row>
    <row r="12" spans="1:10" ht="26.4" customHeight="1">
      <c r="A12" s="3" t="s">
        <v>28</v>
      </c>
      <c r="B12" s="3" t="s">
        <v>41</v>
      </c>
      <c r="C12" s="3" t="s">
        <v>42</v>
      </c>
      <c r="D12" s="4">
        <v>1</v>
      </c>
      <c r="E12" s="4">
        <v>12</v>
      </c>
      <c r="F12" s="4">
        <f t="shared" si="0"/>
        <v>12</v>
      </c>
      <c r="G12" s="3" t="s">
        <v>31</v>
      </c>
      <c r="H12" s="3" t="s">
        <v>32</v>
      </c>
      <c r="I12" s="3" t="s">
        <v>33</v>
      </c>
      <c r="J12" s="3" t="s">
        <v>43</v>
      </c>
    </row>
    <row r="13" spans="1:10" ht="26.4" customHeight="1">
      <c r="A13" s="3" t="s">
        <v>28</v>
      </c>
      <c r="B13" s="3" t="s">
        <v>44</v>
      </c>
      <c r="C13" s="3" t="s">
        <v>45</v>
      </c>
      <c r="D13" s="4">
        <v>5</v>
      </c>
      <c r="E13" s="4">
        <v>0.8</v>
      </c>
      <c r="F13" s="4">
        <f t="shared" si="0"/>
        <v>4</v>
      </c>
      <c r="G13" s="3" t="s">
        <v>31</v>
      </c>
      <c r="H13" s="3" t="s">
        <v>32</v>
      </c>
      <c r="I13" s="3" t="s">
        <v>33</v>
      </c>
      <c r="J13" s="3" t="s">
        <v>46</v>
      </c>
    </row>
    <row r="14" spans="1:10" ht="15" customHeight="1">
      <c r="A14" s="3" t="s">
        <v>47</v>
      </c>
      <c r="B14" s="3" t="s">
        <v>48</v>
      </c>
      <c r="C14" s="3" t="s">
        <v>49</v>
      </c>
      <c r="D14" s="4">
        <v>1</v>
      </c>
      <c r="E14" s="4">
        <v>8</v>
      </c>
      <c r="F14" s="4">
        <f t="shared" si="0"/>
        <v>8</v>
      </c>
      <c r="G14" s="3" t="s">
        <v>31</v>
      </c>
      <c r="H14" s="3" t="s">
        <v>50</v>
      </c>
      <c r="I14" s="3" t="s">
        <v>33</v>
      </c>
      <c r="J14" s="3" t="s">
        <v>51</v>
      </c>
    </row>
    <row r="15" spans="1:10" ht="15" customHeight="1">
      <c r="A15" s="3" t="s">
        <v>47</v>
      </c>
      <c r="B15" s="3" t="s">
        <v>52</v>
      </c>
      <c r="C15" s="3" t="s">
        <v>53</v>
      </c>
      <c r="D15" s="4">
        <v>1</v>
      </c>
      <c r="E15" s="4">
        <v>3</v>
      </c>
      <c r="F15" s="4">
        <f t="shared" si="0"/>
        <v>3</v>
      </c>
      <c r="G15" s="3" t="s">
        <v>31</v>
      </c>
      <c r="H15" s="3" t="s">
        <v>50</v>
      </c>
      <c r="I15" s="3" t="s">
        <v>33</v>
      </c>
      <c r="J15" s="3" t="s">
        <v>54</v>
      </c>
    </row>
    <row r="16" spans="1:10" ht="26.4" customHeight="1">
      <c r="A16" s="3" t="s">
        <v>47</v>
      </c>
      <c r="B16" s="3" t="s">
        <v>55</v>
      </c>
      <c r="C16" s="3" t="s">
        <v>56</v>
      </c>
      <c r="D16" s="4">
        <v>1</v>
      </c>
      <c r="E16" s="4">
        <v>12</v>
      </c>
      <c r="F16" s="4">
        <f t="shared" si="0"/>
        <v>12</v>
      </c>
      <c r="G16" s="3" t="s">
        <v>31</v>
      </c>
      <c r="H16" s="3" t="s">
        <v>57</v>
      </c>
      <c r="I16" s="3" t="s">
        <v>58</v>
      </c>
      <c r="J16" s="3" t="s">
        <v>59</v>
      </c>
    </row>
    <row r="17" spans="1:10" ht="15" customHeight="1">
      <c r="A17" s="3" t="s">
        <v>47</v>
      </c>
      <c r="B17" s="3" t="s">
        <v>60</v>
      </c>
      <c r="C17" s="3" t="s">
        <v>61</v>
      </c>
      <c r="D17" s="4">
        <v>2</v>
      </c>
      <c r="E17" s="4">
        <v>5</v>
      </c>
      <c r="F17" s="4">
        <f t="shared" si="0"/>
        <v>10</v>
      </c>
      <c r="G17" s="3" t="s">
        <v>31</v>
      </c>
      <c r="H17" s="3" t="s">
        <v>50</v>
      </c>
      <c r="I17" s="3" t="s">
        <v>33</v>
      </c>
      <c r="J17" s="3" t="s">
        <v>62</v>
      </c>
    </row>
    <row r="18" spans="1:10" ht="15" customHeight="1">
      <c r="A18" s="3" t="s">
        <v>47</v>
      </c>
      <c r="B18" s="3" t="s">
        <v>63</v>
      </c>
      <c r="C18" s="3" t="s">
        <v>64</v>
      </c>
      <c r="D18" s="4">
        <v>1</v>
      </c>
      <c r="E18" s="4">
        <v>6</v>
      </c>
      <c r="F18" s="4">
        <f t="shared" si="0"/>
        <v>6</v>
      </c>
      <c r="G18" s="3" t="s">
        <v>31</v>
      </c>
      <c r="H18" s="3" t="s">
        <v>50</v>
      </c>
      <c r="I18" s="3" t="s">
        <v>33</v>
      </c>
      <c r="J18" s="3" t="s">
        <v>65</v>
      </c>
    </row>
    <row r="19" spans="1:10" ht="15" customHeight="1">
      <c r="A19" s="3" t="s">
        <v>66</v>
      </c>
      <c r="B19" s="3" t="s">
        <v>67</v>
      </c>
      <c r="C19" s="3" t="s">
        <v>68</v>
      </c>
      <c r="D19" s="4">
        <v>1</v>
      </c>
      <c r="E19" s="4">
        <v>15</v>
      </c>
      <c r="F19" s="4">
        <f t="shared" si="0"/>
        <v>15</v>
      </c>
      <c r="G19" s="3" t="s">
        <v>31</v>
      </c>
      <c r="H19" s="3" t="s">
        <v>69</v>
      </c>
      <c r="I19" s="3" t="s">
        <v>70</v>
      </c>
      <c r="J19" s="3" t="s">
        <v>71</v>
      </c>
    </row>
    <row r="20" spans="1:10" ht="15" customHeight="1">
      <c r="A20" s="3" t="s">
        <v>66</v>
      </c>
      <c r="B20" s="3" t="s">
        <v>72</v>
      </c>
      <c r="C20" s="3" t="s">
        <v>73</v>
      </c>
      <c r="D20" s="4">
        <v>1</v>
      </c>
      <c r="E20" s="4">
        <v>6</v>
      </c>
      <c r="F20" s="4">
        <f t="shared" si="0"/>
        <v>6</v>
      </c>
      <c r="G20" s="11" t="s">
        <v>155</v>
      </c>
      <c r="H20" s="3" t="s">
        <v>69</v>
      </c>
      <c r="I20" s="3" t="s">
        <v>74</v>
      </c>
      <c r="J20" s="3" t="s">
        <v>75</v>
      </c>
    </row>
    <row r="21" spans="1:10" ht="26.4" customHeight="1">
      <c r="A21" s="3" t="s">
        <v>76</v>
      </c>
      <c r="B21" s="3" t="s">
        <v>77</v>
      </c>
      <c r="C21" s="3" t="s">
        <v>78</v>
      </c>
      <c r="D21" s="4">
        <v>1</v>
      </c>
      <c r="E21" s="4">
        <v>5</v>
      </c>
      <c r="F21" s="4">
        <f t="shared" si="0"/>
        <v>5</v>
      </c>
      <c r="G21" s="3" t="s">
        <v>31</v>
      </c>
      <c r="H21" s="3" t="s">
        <v>76</v>
      </c>
      <c r="I21" s="3" t="s">
        <v>79</v>
      </c>
      <c r="J21" s="3" t="s">
        <v>80</v>
      </c>
    </row>
    <row r="22" spans="1:10" ht="15" customHeight="1">
      <c r="A22" s="3" t="s">
        <v>76</v>
      </c>
      <c r="B22" s="3" t="s">
        <v>81</v>
      </c>
      <c r="C22" s="3" t="s">
        <v>82</v>
      </c>
      <c r="D22" s="4">
        <v>1</v>
      </c>
      <c r="E22" s="4">
        <v>15</v>
      </c>
      <c r="F22" s="4">
        <f t="shared" si="0"/>
        <v>15</v>
      </c>
      <c r="G22" s="3" t="s">
        <v>31</v>
      </c>
      <c r="H22" s="3" t="s">
        <v>76</v>
      </c>
      <c r="I22" s="3" t="s">
        <v>79</v>
      </c>
      <c r="J22" s="3" t="s">
        <v>83</v>
      </c>
    </row>
    <row r="23" spans="1:10" ht="15" customHeight="1">
      <c r="A23" s="3" t="s">
        <v>76</v>
      </c>
      <c r="B23" s="3" t="s">
        <v>84</v>
      </c>
      <c r="C23" s="3" t="s">
        <v>85</v>
      </c>
      <c r="D23" s="4">
        <v>1</v>
      </c>
      <c r="E23" s="4">
        <v>5</v>
      </c>
      <c r="F23" s="4">
        <f t="shared" si="0"/>
        <v>5</v>
      </c>
      <c r="G23" s="3" t="s">
        <v>31</v>
      </c>
      <c r="H23" s="3" t="s">
        <v>76</v>
      </c>
      <c r="I23" s="3" t="s">
        <v>79</v>
      </c>
      <c r="J23" s="3" t="s">
        <v>86</v>
      </c>
    </row>
    <row r="24" spans="1:10" ht="15" customHeight="1">
      <c r="A24" s="3" t="s">
        <v>76</v>
      </c>
      <c r="B24" s="3" t="s">
        <v>87</v>
      </c>
      <c r="C24" s="3" t="s">
        <v>88</v>
      </c>
      <c r="D24" s="4">
        <v>1</v>
      </c>
      <c r="E24" s="4">
        <v>3</v>
      </c>
      <c r="F24" s="4">
        <f t="shared" si="0"/>
        <v>3</v>
      </c>
      <c r="G24" s="3" t="s">
        <v>31</v>
      </c>
      <c r="H24" s="3" t="s">
        <v>89</v>
      </c>
      <c r="I24" s="3" t="s">
        <v>90</v>
      </c>
      <c r="J24" s="3" t="s">
        <v>91</v>
      </c>
    </row>
    <row r="25" spans="1:10" ht="15" customHeight="1">
      <c r="A25" s="3" t="s">
        <v>76</v>
      </c>
      <c r="B25" s="3" t="s">
        <v>92</v>
      </c>
      <c r="C25" s="3" t="s">
        <v>93</v>
      </c>
      <c r="D25" s="4">
        <v>1</v>
      </c>
      <c r="E25" s="4">
        <v>20</v>
      </c>
      <c r="F25" s="4">
        <f t="shared" si="0"/>
        <v>20</v>
      </c>
      <c r="G25" s="3" t="s">
        <v>31</v>
      </c>
      <c r="H25" s="3" t="s">
        <v>76</v>
      </c>
      <c r="I25" s="3" t="s">
        <v>79</v>
      </c>
      <c r="J25" s="3" t="s">
        <v>94</v>
      </c>
    </row>
    <row r="27" spans="1:10" ht="34" customHeight="1">
      <c r="A27" s="9"/>
      <c r="B27" s="9"/>
      <c r="C27" s="9"/>
      <c r="D27" s="9"/>
      <c r="E27" s="9"/>
      <c r="F27" s="9"/>
      <c r="G27" s="9"/>
      <c r="H27" s="9"/>
      <c r="I27" s="9"/>
      <c r="J27" s="9"/>
    </row>
  </sheetData>
  <mergeCells count="3">
    <mergeCell ref="A1:J1"/>
    <mergeCell ref="A2:J2"/>
    <mergeCell ref="A27:J27"/>
  </mergeCells>
  <phoneticPr fontId="6" type="noConversion"/>
  <dataValidations count="2">
    <dataValidation type="list" sqref="H5:H25" xr:uid="{00000000-0002-0000-0000-000000000000}">
      <formula1>"必买,建议买,按需购买,可选,暂缓,不单买,无需购买,检查余量"</formula1>
    </dataValidation>
    <dataValidation type="list" sqref="I5:I25" xr:uid="{00000000-0002-0000-0000-000001000000}">
      <formula1>"买,看情况,预算足再买,看余量,先不买,不买,保留"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"/>
  <sheetViews>
    <sheetView showGridLines="0" workbookViewId="0"/>
  </sheetViews>
  <sheetFormatPr defaultRowHeight="14"/>
  <cols>
    <col min="1" max="1" width="22" customWidth="1"/>
    <col min="2" max="2" width="14" customWidth="1"/>
    <col min="3" max="3" width="26" customWidth="1"/>
    <col min="4" max="4" width="18" customWidth="1"/>
    <col min="5" max="5" width="44" customWidth="1"/>
    <col min="6" max="6" width="22" customWidth="1"/>
  </cols>
  <sheetData>
    <row r="1" spans="1:10" ht="19">
      <c r="A1" s="7" t="s">
        <v>95</v>
      </c>
      <c r="B1" s="7"/>
      <c r="C1" s="7"/>
      <c r="D1" s="7"/>
      <c r="E1" s="7"/>
      <c r="F1" s="7"/>
      <c r="G1" s="1"/>
      <c r="H1" s="1"/>
      <c r="I1" s="1"/>
      <c r="J1" s="1"/>
    </row>
    <row r="3" spans="1:10" ht="15" customHeight="1">
      <c r="A3" s="2" t="s">
        <v>96</v>
      </c>
      <c r="B3" s="2" t="s">
        <v>97</v>
      </c>
      <c r="C3" s="2" t="s">
        <v>98</v>
      </c>
      <c r="D3" s="2" t="s">
        <v>99</v>
      </c>
      <c r="E3" s="2" t="s">
        <v>100</v>
      </c>
      <c r="F3" s="2" t="s">
        <v>101</v>
      </c>
    </row>
    <row r="4" spans="1:10" ht="26.4" customHeight="1">
      <c r="A4" s="3" t="s">
        <v>102</v>
      </c>
      <c r="B4" s="4">
        <f>SUMIFS(采购清单!F5:F25,采购清单!A5:A25,"第一优先",采购清单!I5:I25,"买")</f>
        <v>66.3</v>
      </c>
      <c r="C4" s="3" t="s">
        <v>28</v>
      </c>
      <c r="D4" s="3" t="s">
        <v>103</v>
      </c>
      <c r="E4" s="3" t="s">
        <v>104</v>
      </c>
      <c r="F4" s="3" t="s">
        <v>105</v>
      </c>
    </row>
    <row r="5" spans="1:10" ht="15" customHeight="1">
      <c r="A5" s="3" t="s">
        <v>106</v>
      </c>
      <c r="B5" s="4">
        <f>SUMIFS(采购清单!F5:F25,采购清单!A5:A25,"第一优先",采购清单!I5:I25,"买")+SUMIFS(采购清单!F5:F25,采购清单!A5:A25,"第二优先",采购清单!I5:I25,"买")</f>
        <v>93.3</v>
      </c>
      <c r="C5" s="3" t="s">
        <v>107</v>
      </c>
      <c r="D5" s="3" t="s">
        <v>108</v>
      </c>
      <c r="E5" s="3" t="s">
        <v>109</v>
      </c>
      <c r="F5" s="3" t="s">
        <v>50</v>
      </c>
    </row>
    <row r="6" spans="1:10" ht="15" customHeight="1">
      <c r="A6" s="3" t="s">
        <v>110</v>
      </c>
      <c r="B6" s="4">
        <f>B5+SUMIFS(采购清单!F5:F25,采购清单!A5:A25,"备用")</f>
        <v>114.3</v>
      </c>
      <c r="C6" s="3" t="s">
        <v>111</v>
      </c>
      <c r="D6" s="3" t="s">
        <v>112</v>
      </c>
      <c r="E6" s="3" t="s">
        <v>113</v>
      </c>
      <c r="F6" s="3" t="s">
        <v>114</v>
      </c>
    </row>
    <row r="7" spans="1:10" ht="26.4" customHeight="1">
      <c r="A7" s="3" t="s">
        <v>115</v>
      </c>
      <c r="B7" s="4">
        <f>SUMIFS(采购清单!F5:F25,采购清单!A5:A25,"暂缓")</f>
        <v>48</v>
      </c>
      <c r="C7" s="3" t="s">
        <v>76</v>
      </c>
      <c r="D7" s="3" t="s">
        <v>116</v>
      </c>
      <c r="E7" s="3" t="s">
        <v>117</v>
      </c>
      <c r="F7" s="3" t="s">
        <v>79</v>
      </c>
    </row>
    <row r="8" spans="1:10" ht="26.4" customHeight="1">
      <c r="A8" s="5" t="s">
        <v>118</v>
      </c>
      <c r="B8" s="6">
        <f>B5</f>
        <v>93.3</v>
      </c>
      <c r="C8" s="5" t="s">
        <v>119</v>
      </c>
      <c r="D8" s="5" t="s">
        <v>120</v>
      </c>
      <c r="E8" s="5" t="s">
        <v>121</v>
      </c>
      <c r="F8" s="5" t="s">
        <v>122</v>
      </c>
    </row>
  </sheetData>
  <mergeCells count="1">
    <mergeCell ref="A1:F1"/>
  </mergeCells>
  <phoneticPr fontId="6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"/>
  <sheetViews>
    <sheetView showGridLines="0" workbookViewId="0"/>
  </sheetViews>
  <sheetFormatPr defaultRowHeight="14"/>
  <cols>
    <col min="1" max="1" width="20" customWidth="1"/>
    <col min="2" max="2" width="26" customWidth="1"/>
    <col min="3" max="3" width="64" customWidth="1"/>
    <col min="4" max="4" width="36" customWidth="1"/>
  </cols>
  <sheetData>
    <row r="1" spans="1:10" ht="19">
      <c r="A1" s="7" t="s">
        <v>123</v>
      </c>
      <c r="B1" s="7"/>
      <c r="C1" s="7"/>
      <c r="D1" s="7"/>
      <c r="E1" s="1"/>
      <c r="F1" s="1"/>
      <c r="G1" s="1"/>
      <c r="H1" s="1"/>
      <c r="I1" s="1"/>
      <c r="J1" s="1"/>
    </row>
    <row r="3" spans="1:10" ht="15" customHeight="1">
      <c r="A3" s="2" t="s">
        <v>124</v>
      </c>
      <c r="B3" s="2" t="s">
        <v>125</v>
      </c>
      <c r="C3" s="2" t="s">
        <v>126</v>
      </c>
      <c r="D3" s="2" t="s">
        <v>127</v>
      </c>
    </row>
    <row r="4" spans="1:10" ht="26.4" customHeight="1">
      <c r="A4" s="3" t="s">
        <v>35</v>
      </c>
      <c r="B4" s="3" t="s">
        <v>128</v>
      </c>
      <c r="C4" s="3" t="s">
        <v>129</v>
      </c>
      <c r="D4" s="3" t="s">
        <v>130</v>
      </c>
    </row>
    <row r="5" spans="1:10" ht="26.4" customHeight="1">
      <c r="A5" s="3" t="s">
        <v>29</v>
      </c>
      <c r="B5" s="3" t="s">
        <v>131</v>
      </c>
      <c r="C5" s="3" t="s">
        <v>132</v>
      </c>
      <c r="D5" s="3" t="s">
        <v>133</v>
      </c>
    </row>
    <row r="6" spans="1:10" ht="26.4" customHeight="1">
      <c r="A6" s="3" t="s">
        <v>134</v>
      </c>
      <c r="B6" s="3" t="s">
        <v>135</v>
      </c>
      <c r="C6" s="3" t="s">
        <v>136</v>
      </c>
      <c r="D6" s="3" t="s">
        <v>137</v>
      </c>
    </row>
    <row r="7" spans="1:10" ht="26.4" customHeight="1">
      <c r="A7" s="3" t="s">
        <v>138</v>
      </c>
      <c r="B7" s="3" t="s">
        <v>139</v>
      </c>
      <c r="C7" s="3" t="s">
        <v>140</v>
      </c>
      <c r="D7" s="3" t="s">
        <v>141</v>
      </c>
    </row>
    <row r="8" spans="1:10" ht="15" customHeight="1">
      <c r="A8" s="3" t="s">
        <v>142</v>
      </c>
      <c r="B8" s="3" t="s">
        <v>143</v>
      </c>
      <c r="C8" s="3" t="s">
        <v>144</v>
      </c>
      <c r="D8" s="3" t="s">
        <v>145</v>
      </c>
    </row>
    <row r="9" spans="1:10" ht="26.4" customHeight="1">
      <c r="A9" s="3" t="s">
        <v>146</v>
      </c>
      <c r="B9" s="3" t="s">
        <v>147</v>
      </c>
      <c r="C9" s="3" t="s">
        <v>148</v>
      </c>
      <c r="D9" s="3" t="s">
        <v>149</v>
      </c>
    </row>
    <row r="10" spans="1:10" ht="15" customHeight="1">
      <c r="A10" s="3" t="s">
        <v>150</v>
      </c>
      <c r="B10" s="3" t="s">
        <v>151</v>
      </c>
      <c r="C10" s="3" t="s">
        <v>152</v>
      </c>
      <c r="D10" s="3" t="s">
        <v>153</v>
      </c>
    </row>
  </sheetData>
  <mergeCells count="1">
    <mergeCell ref="A1:D1"/>
  </mergeCells>
  <phoneticPr fontId="6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采购清单</vt:lpstr>
      <vt:lpstr>预算汇总</vt:lpstr>
      <vt:lpstr>来源与判断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metrosync N</cp:lastModifiedBy>
  <dcterms:modified xsi:type="dcterms:W3CDTF">2026-06-29T13:23:12Z</dcterms:modified>
</cp:coreProperties>
</file>